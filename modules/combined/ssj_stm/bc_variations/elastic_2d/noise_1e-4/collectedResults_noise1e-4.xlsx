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sa/projects/moose/modules/combined/ssj_stm/bc_variations/elastic_2d/noise_1e-4/"/>
    </mc:Choice>
  </mc:AlternateContent>
  <xr:revisionPtr revIDLastSave="0" documentId="13_ncr:1_{20600DAF-F4D7-2049-BB65-A788272EC685}" xr6:coauthVersionLast="47" xr6:coauthVersionMax="47" xr10:uidLastSave="{00000000-0000-0000-0000-000000000000}"/>
  <bookViews>
    <workbookView xWindow="28760" yWindow="9000" windowWidth="18980" windowHeight="16940" activeTab="1" xr2:uid="{6C4B34A7-3C6F-FE42-8C18-AB94F3D29222}"/>
  </bookViews>
  <sheets>
    <sheet name="Sheet1" sheetId="1" r:id="rId1"/>
    <sheet name="Verifying Evaluation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8" i="2"/>
  <c r="I4" i="1"/>
  <c r="I5" i="1"/>
  <c r="I6" i="1"/>
  <c r="I7" i="1"/>
  <c r="I8" i="1"/>
  <c r="I9" i="1"/>
  <c r="I10" i="1"/>
  <c r="I11" i="1"/>
  <c r="I12" i="1"/>
  <c r="I3" i="1"/>
  <c r="E9" i="2"/>
  <c r="E10" i="2"/>
  <c r="E11" i="2"/>
  <c r="E12" i="2"/>
  <c r="E13" i="2"/>
  <c r="E14" i="2"/>
  <c r="E15" i="2"/>
  <c r="E16" i="2"/>
  <c r="E17" i="2"/>
  <c r="E8" i="2"/>
  <c r="D5" i="1"/>
  <c r="D6" i="1"/>
  <c r="D7" i="1"/>
  <c r="D8" i="1"/>
  <c r="D9" i="1"/>
  <c r="D10" i="1"/>
  <c r="D11" i="1"/>
  <c r="D12" i="1"/>
  <c r="D3" i="1"/>
  <c r="D4" i="1"/>
</calcChain>
</file>

<file path=xl/sharedStrings.xml><?xml version="1.0" encoding="utf-8"?>
<sst xmlns="http://schemas.openxmlformats.org/spreadsheetml/2006/main" count="72" uniqueCount="30">
  <si>
    <t> (TM simulation)</t>
  </si>
  <si>
    <t>GP training data </t>
  </si>
  <si>
    <t>GP evaluation data</t>
  </si>
  <si>
    <t>Average Mean</t>
  </si>
  <si>
    <t>Diff from TM</t>
  </si>
  <si>
    <t>Average std dev</t>
  </si>
  <si>
    <t>Nans present?</t>
  </si>
  <si>
    <t>Max value</t>
  </si>
  <si>
    <t>nan</t>
  </si>
  <si>
    <t>ALL</t>
  </si>
  <si>
    <t>Y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</si>
  <si>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</si>
  <si>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</si>
  <si>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</si>
  <si>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</si>
  <si>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</si>
  <si>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</si>
  <si>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</si>
  <si>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</si>
  <si>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</si>
  <si>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Using data from the row 2 in the train_geometry_2d_bcs_out_data_evaluate_0002.csv file</t>
  </si>
  <si>
    <t>upper rig offset</t>
  </si>
  <si>
    <t>lower rig offset</t>
  </si>
  <si>
    <t>TM Simulation</t>
  </si>
  <si>
    <t>GP prediction</t>
  </si>
  <si>
    <t>max</t>
  </si>
  <si>
    <t xml:space="preserve">std. deviation </t>
  </si>
  <si>
    <t>diff</t>
  </si>
  <si>
    <t>N</t>
  </si>
  <si>
    <t>diff as % true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</si>
</sst>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8E39-828A-E743-99D6-F21D96FF2F0D}">
  <dimension ref="A1:K12"/>
  <sheetViews>
    <sheetView workbookViewId="0">
      <selection activeCell="H18" sqref="H18"/>
    </sheetView>
  </sheetViews>
  <sheetFormatPr baseColWidth="10" defaultRowHeight="16" x14ac:dyDescent="0.2"/>
  <cols>
    <col min="2" max="2" width="14.5" style="5" bestFit="1" customWidth="1"/>
    <col min="3" max="3" width="14.6640625" style="5" bestFit="1" customWidth="1"/>
    <col min="4" max="4" width="11.83203125" bestFit="1" customWidth="1"/>
    <col min="5" max="5" width="14.1640625" style="7" bestFit="1" customWidth="1"/>
    <col min="6" max="6" width="13" style="1" bestFit="1" customWidth="1"/>
    <col min="8" max="8" width="13" bestFit="1" customWidth="1"/>
    <col min="9" max="9" width="11.83203125" bestFit="1" customWidth="1"/>
    <col min="10" max="10" width="14.1640625" bestFit="1" customWidth="1"/>
    <col min="11" max="11" width="13" bestFit="1" customWidth="1"/>
  </cols>
  <sheetData>
    <row r="1" spans="1:11" s="2" customFormat="1" x14ac:dyDescent="0.2">
      <c r="B1" s="4" t="s">
        <v>0</v>
      </c>
      <c r="C1" s="3" t="s">
        <v>1</v>
      </c>
      <c r="D1" s="3"/>
      <c r="E1" s="3"/>
      <c r="F1" s="3"/>
      <c r="H1" s="3" t="s">
        <v>2</v>
      </c>
      <c r="I1" s="3"/>
      <c r="J1" s="3"/>
      <c r="K1" s="3"/>
    </row>
    <row r="2" spans="1:11" x14ac:dyDescent="0.2">
      <c r="B2" s="5" t="s">
        <v>3</v>
      </c>
      <c r="C2" s="5" t="s">
        <v>3</v>
      </c>
      <c r="D2" t="s">
        <v>4</v>
      </c>
      <c r="E2" s="7" t="s">
        <v>5</v>
      </c>
      <c r="F2" s="1" t="s">
        <v>6</v>
      </c>
      <c r="H2" t="s">
        <v>3</v>
      </c>
      <c r="I2" t="s">
        <v>4</v>
      </c>
      <c r="J2" t="s">
        <v>5</v>
      </c>
      <c r="K2" t="s">
        <v>6</v>
      </c>
    </row>
    <row r="3" spans="1:11" x14ac:dyDescent="0.2">
      <c r="A3" t="s">
        <v>7</v>
      </c>
      <c r="B3" s="5">
        <v>32512.903085624661</v>
      </c>
      <c r="C3" s="5">
        <v>32540.464975165833</v>
      </c>
      <c r="D3" s="5">
        <f t="shared" ref="D3:D12" si="0">B3-C3</f>
        <v>-27.561889541171695</v>
      </c>
      <c r="E3" s="7">
        <v>154.2152382807364</v>
      </c>
      <c r="F3" s="1" t="s">
        <v>10</v>
      </c>
      <c r="H3">
        <v>32180.95711803174</v>
      </c>
      <c r="I3" s="5">
        <f>B3-H3</f>
        <v>331.94596759292108</v>
      </c>
      <c r="J3">
        <v>3698.8459817877838</v>
      </c>
      <c r="K3" s="1" t="s">
        <v>28</v>
      </c>
    </row>
    <row r="4" spans="1:11" x14ac:dyDescent="0.2">
      <c r="A4" t="s">
        <v>11</v>
      </c>
      <c r="B4" s="5">
        <v>2915.6932383185213</v>
      </c>
      <c r="C4" s="5">
        <v>2985.1422499999999</v>
      </c>
      <c r="D4" s="5">
        <f t="shared" si="0"/>
        <v>-69.449011681478623</v>
      </c>
      <c r="E4" s="7" t="s">
        <v>8</v>
      </c>
      <c r="F4" s="1" t="s">
        <v>9</v>
      </c>
      <c r="H4">
        <v>2975.8925131377459</v>
      </c>
      <c r="I4" s="5">
        <f t="shared" ref="I4:I12" si="1">B4-H4</f>
        <v>-60.199274819224684</v>
      </c>
      <c r="J4">
        <v>191.88996272148577</v>
      </c>
      <c r="K4" s="1" t="s">
        <v>10</v>
      </c>
    </row>
    <row r="5" spans="1:11" x14ac:dyDescent="0.2">
      <c r="A5" t="s">
        <v>12</v>
      </c>
      <c r="B5" s="5">
        <v>9241.721171877185</v>
      </c>
      <c r="C5" s="5">
        <v>9277.7328977029611</v>
      </c>
      <c r="D5" s="5">
        <f t="shared" si="0"/>
        <v>-36.011725825776011</v>
      </c>
      <c r="E5" s="7">
        <v>79.543088748798993</v>
      </c>
      <c r="F5" s="1" t="s">
        <v>10</v>
      </c>
      <c r="H5">
        <v>9269.2002533057348</v>
      </c>
      <c r="I5" s="5">
        <f t="shared" si="1"/>
        <v>-27.479081428549762</v>
      </c>
      <c r="J5">
        <v>189.40289749552912</v>
      </c>
      <c r="K5" s="1" t="s">
        <v>10</v>
      </c>
    </row>
    <row r="6" spans="1:11" x14ac:dyDescent="0.2">
      <c r="A6" t="s">
        <v>13</v>
      </c>
      <c r="B6" s="5">
        <v>10412.1417353002</v>
      </c>
      <c r="C6" s="5">
        <v>10384.769636012434</v>
      </c>
      <c r="D6" s="5">
        <f t="shared" si="0"/>
        <v>27.372099287766105</v>
      </c>
      <c r="E6" s="7">
        <v>23.64345266767225</v>
      </c>
      <c r="F6" s="1" t="s">
        <v>10</v>
      </c>
      <c r="H6">
        <v>10422.313038351307</v>
      </c>
      <c r="I6" s="5">
        <f t="shared" si="1"/>
        <v>-10.171303051107316</v>
      </c>
      <c r="J6">
        <v>160.39228763427835</v>
      </c>
      <c r="K6" s="1" t="s">
        <v>10</v>
      </c>
    </row>
    <row r="7" spans="1:11" x14ac:dyDescent="0.2">
      <c r="A7" t="s">
        <v>14</v>
      </c>
      <c r="B7" s="5">
        <v>10403.83980537396</v>
      </c>
      <c r="C7" s="5">
        <v>10336.995579535784</v>
      </c>
      <c r="D7" s="5">
        <f t="shared" si="0"/>
        <v>66.844225838176499</v>
      </c>
      <c r="E7" s="7">
        <v>62.242624637442248</v>
      </c>
      <c r="F7" s="1" t="s">
        <v>10</v>
      </c>
      <c r="H7">
        <v>10374.385079797219</v>
      </c>
      <c r="I7" s="5">
        <f t="shared" si="1"/>
        <v>29.454725576741112</v>
      </c>
      <c r="J7">
        <v>195.07442414786195</v>
      </c>
      <c r="K7" s="1" t="s">
        <v>10</v>
      </c>
    </row>
    <row r="8" spans="1:11" x14ac:dyDescent="0.2">
      <c r="A8" t="s">
        <v>15</v>
      </c>
      <c r="B8" s="5">
        <v>10398.097299391829</v>
      </c>
      <c r="C8" s="5">
        <v>10370.887006096847</v>
      </c>
      <c r="D8" s="5">
        <f t="shared" si="0"/>
        <v>27.210293294981966</v>
      </c>
      <c r="E8" s="7">
        <v>21.16481460505225</v>
      </c>
      <c r="F8" s="1" t="s">
        <v>10</v>
      </c>
      <c r="H8">
        <v>10408.59284983159</v>
      </c>
      <c r="I8" s="5">
        <f t="shared" si="1"/>
        <v>-10.495550439760336</v>
      </c>
      <c r="J8">
        <v>158.38287134252661</v>
      </c>
      <c r="K8" s="1" t="s">
        <v>10</v>
      </c>
    </row>
    <row r="9" spans="1:11" x14ac:dyDescent="0.2">
      <c r="A9" t="s">
        <v>16</v>
      </c>
      <c r="B9" s="5">
        <v>10392.85315150434</v>
      </c>
      <c r="C9" s="5">
        <v>10319.891992991714</v>
      </c>
      <c r="D9" s="5">
        <f t="shared" si="0"/>
        <v>72.961158512625843</v>
      </c>
      <c r="E9" s="7" t="s">
        <v>8</v>
      </c>
      <c r="F9" s="1" t="s">
        <v>9</v>
      </c>
      <c r="H9">
        <v>10421.652188177</v>
      </c>
      <c r="I9" s="5">
        <f t="shared" si="1"/>
        <v>-28.799036672660804</v>
      </c>
      <c r="J9">
        <v>241.09090813651994</v>
      </c>
      <c r="K9" s="1" t="s">
        <v>10</v>
      </c>
    </row>
    <row r="10" spans="1:11" x14ac:dyDescent="0.2">
      <c r="A10" t="s">
        <v>17</v>
      </c>
      <c r="B10" s="5">
        <v>10412.427208206182</v>
      </c>
      <c r="C10" s="5">
        <v>10383.265999927526</v>
      </c>
      <c r="D10" s="5">
        <f t="shared" si="0"/>
        <v>29.161208278655977</v>
      </c>
      <c r="E10" s="7">
        <v>18.913426933159499</v>
      </c>
      <c r="F10" s="1" t="s">
        <v>10</v>
      </c>
      <c r="H10">
        <v>10424.089280724555</v>
      </c>
      <c r="I10" s="5">
        <f t="shared" si="1"/>
        <v>-11.662072518372952</v>
      </c>
      <c r="J10">
        <v>162.94461730640066</v>
      </c>
      <c r="K10" s="1" t="s">
        <v>10</v>
      </c>
    </row>
    <row r="11" spans="1:11" x14ac:dyDescent="0.2">
      <c r="A11" t="s">
        <v>18</v>
      </c>
      <c r="B11" s="5">
        <v>9229.6310636994676</v>
      </c>
      <c r="C11" s="5">
        <v>9126.0042444427763</v>
      </c>
      <c r="D11" s="5">
        <f t="shared" si="0"/>
        <v>103.62681925669131</v>
      </c>
      <c r="E11" s="7">
        <v>94.023346981351992</v>
      </c>
      <c r="F11" s="1" t="s">
        <v>10</v>
      </c>
      <c r="H11">
        <v>9200.8573615377063</v>
      </c>
      <c r="I11" s="5">
        <f t="shared" si="1"/>
        <v>28.773702161761321</v>
      </c>
      <c r="J11">
        <v>208.5326535502594</v>
      </c>
      <c r="K11" s="1" t="s">
        <v>10</v>
      </c>
    </row>
    <row r="12" spans="1:11" x14ac:dyDescent="0.2">
      <c r="A12" t="s">
        <v>19</v>
      </c>
      <c r="B12" s="5">
        <v>2914.522357380712</v>
      </c>
      <c r="C12" s="5">
        <v>2862.2655315354696</v>
      </c>
      <c r="D12" s="5">
        <f t="shared" si="0"/>
        <v>52.256825845242474</v>
      </c>
      <c r="E12" s="7" t="s">
        <v>8</v>
      </c>
      <c r="F12" s="1" t="s">
        <v>9</v>
      </c>
      <c r="H12">
        <v>2922.4976802217257</v>
      </c>
      <c r="I12" s="5">
        <f t="shared" si="1"/>
        <v>-7.9753228410136217</v>
      </c>
      <c r="J12">
        <v>208.05756576089391</v>
      </c>
      <c r="K12" s="1" t="s">
        <v>10</v>
      </c>
    </row>
  </sheetData>
  <mergeCells count="2">
    <mergeCell ref="C1:F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BC93-6758-D244-BFCA-1858A36654DA}">
  <dimension ref="A1:F17"/>
  <sheetViews>
    <sheetView tabSelected="1" workbookViewId="0">
      <selection activeCell="F20" sqref="F20"/>
    </sheetView>
  </sheetViews>
  <sheetFormatPr baseColWidth="10" defaultRowHeight="16" x14ac:dyDescent="0.2"/>
  <cols>
    <col min="2" max="2" width="13.83203125" style="5" bestFit="1" customWidth="1"/>
    <col min="3" max="3" width="12.83203125" bestFit="1" customWidth="1"/>
    <col min="4" max="4" width="12.6640625" bestFit="1" customWidth="1"/>
    <col min="6" max="6" width="17.1640625" bestFit="1" customWidth="1"/>
  </cols>
  <sheetData>
    <row r="1" spans="1:6" x14ac:dyDescent="0.2">
      <c r="A1" t="s">
        <v>20</v>
      </c>
    </row>
    <row r="3" spans="1:6" x14ac:dyDescent="0.2">
      <c r="B3" s="5" t="s">
        <v>21</v>
      </c>
      <c r="C3" s="6">
        <v>7.9215855000000002E-2</v>
      </c>
    </row>
    <row r="4" spans="1:6" x14ac:dyDescent="0.2">
      <c r="B4" s="5" t="s">
        <v>22</v>
      </c>
      <c r="C4">
        <v>-1.6929473597484E-2</v>
      </c>
    </row>
    <row r="7" spans="1:6" x14ac:dyDescent="0.2">
      <c r="B7" s="5" t="s">
        <v>23</v>
      </c>
      <c r="C7" t="s">
        <v>24</v>
      </c>
      <c r="D7" t="s">
        <v>26</v>
      </c>
      <c r="E7" t="s">
        <v>27</v>
      </c>
      <c r="F7" t="s">
        <v>29</v>
      </c>
    </row>
    <row r="8" spans="1:6" x14ac:dyDescent="0.2">
      <c r="A8" t="s">
        <v>25</v>
      </c>
      <c r="B8" s="5">
        <v>30752.456167818</v>
      </c>
      <c r="C8" s="5">
        <v>31777.386337813001</v>
      </c>
      <c r="D8" s="8">
        <v>2672.7427934245002</v>
      </c>
      <c r="E8" s="5">
        <f>B8-C8</f>
        <v>-1024.9301699950011</v>
      </c>
      <c r="F8" s="9">
        <f>E8/B8</f>
        <v>-3.3328400320348256E-2</v>
      </c>
    </row>
    <row r="9" spans="1:6" x14ac:dyDescent="0.2">
      <c r="A9" t="s">
        <v>11</v>
      </c>
      <c r="B9" s="5">
        <v>3003.4711768015</v>
      </c>
      <c r="C9" s="5">
        <v>4898.7196730494998</v>
      </c>
      <c r="D9" s="1" t="s">
        <v>8</v>
      </c>
      <c r="E9" s="5">
        <f t="shared" ref="E9:E17" si="0">B9-C9</f>
        <v>-1895.2484962479998</v>
      </c>
      <c r="F9" s="9">
        <f t="shared" ref="F9:F17" si="1">E9/B9</f>
        <v>-0.63101937214736825</v>
      </c>
    </row>
    <row r="10" spans="1:6" x14ac:dyDescent="0.2">
      <c r="A10" t="s">
        <v>12</v>
      </c>
      <c r="B10" s="5">
        <v>9178.6948829957</v>
      </c>
      <c r="C10" s="5">
        <v>11776.868083322001</v>
      </c>
      <c r="D10" s="1" t="s">
        <v>8</v>
      </c>
      <c r="E10" s="5">
        <f t="shared" si="0"/>
        <v>-2598.1732003263005</v>
      </c>
      <c r="F10" s="9">
        <f t="shared" si="1"/>
        <v>-0.2830656464177313</v>
      </c>
    </row>
    <row r="11" spans="1:6" x14ac:dyDescent="0.2">
      <c r="A11" t="s">
        <v>13</v>
      </c>
      <c r="B11" s="5">
        <v>10238.836369634</v>
      </c>
      <c r="C11" s="5">
        <v>9482.9131628294999</v>
      </c>
      <c r="D11" s="1" t="s">
        <v>8</v>
      </c>
      <c r="E11" s="5">
        <f t="shared" si="0"/>
        <v>755.9232068045003</v>
      </c>
      <c r="F11" s="9">
        <f t="shared" si="1"/>
        <v>7.3829015282087337E-2</v>
      </c>
    </row>
    <row r="12" spans="1:6" x14ac:dyDescent="0.2">
      <c r="A12" t="s">
        <v>14</v>
      </c>
      <c r="B12" s="5">
        <v>10300.233025395</v>
      </c>
      <c r="C12" s="5">
        <v>7128.4559112690004</v>
      </c>
      <c r="D12" s="1" t="s">
        <v>8</v>
      </c>
      <c r="E12" s="5">
        <f t="shared" si="0"/>
        <v>3171.777114126</v>
      </c>
      <c r="F12" s="9">
        <f t="shared" si="1"/>
        <v>0.30793255903104838</v>
      </c>
    </row>
    <row r="13" spans="1:6" x14ac:dyDescent="0.2">
      <c r="A13" t="s">
        <v>15</v>
      </c>
      <c r="B13" s="5">
        <v>10226.055532926999</v>
      </c>
      <c r="C13" s="5">
        <v>9519.4330666858004</v>
      </c>
      <c r="D13" s="1" t="s">
        <v>8</v>
      </c>
      <c r="E13" s="5">
        <f t="shared" si="0"/>
        <v>706.62246624119871</v>
      </c>
      <c r="F13" s="9">
        <f t="shared" si="1"/>
        <v>6.910019840650547E-2</v>
      </c>
    </row>
    <row r="14" spans="1:6" x14ac:dyDescent="0.2">
      <c r="A14" t="s">
        <v>16</v>
      </c>
      <c r="B14" s="5">
        <v>10152.124029667</v>
      </c>
      <c r="C14" s="5">
        <v>9426.5342443446007</v>
      </c>
      <c r="D14" s="1" t="s">
        <v>8</v>
      </c>
      <c r="E14" s="5">
        <f t="shared" si="0"/>
        <v>725.58978532239962</v>
      </c>
      <c r="F14" s="9">
        <f t="shared" si="1"/>
        <v>7.1471721898003618E-2</v>
      </c>
    </row>
    <row r="15" spans="1:6" x14ac:dyDescent="0.2">
      <c r="A15" t="s">
        <v>17</v>
      </c>
      <c r="B15" s="5">
        <v>10236.803082300001</v>
      </c>
      <c r="C15" s="5">
        <v>9531.8945546721006</v>
      </c>
      <c r="D15" s="1" t="s">
        <v>8</v>
      </c>
      <c r="E15" s="5">
        <f t="shared" si="0"/>
        <v>704.90852762790018</v>
      </c>
      <c r="F15" s="9">
        <f t="shared" si="1"/>
        <v>6.8860221493048546E-2</v>
      </c>
    </row>
    <row r="16" spans="1:6" x14ac:dyDescent="0.2">
      <c r="A16" t="s">
        <v>18</v>
      </c>
      <c r="B16" s="5">
        <v>9331.3043395982004</v>
      </c>
      <c r="C16" s="5">
        <v>8145.0895738552999</v>
      </c>
      <c r="D16" s="1" t="s">
        <v>8</v>
      </c>
      <c r="E16" s="5">
        <f t="shared" si="0"/>
        <v>1186.2147657429005</v>
      </c>
      <c r="F16" s="9">
        <f t="shared" si="1"/>
        <v>0.12712207453239899</v>
      </c>
    </row>
    <row r="17" spans="1:6" x14ac:dyDescent="0.2">
      <c r="A17" t="s">
        <v>19</v>
      </c>
      <c r="B17" s="5">
        <v>3132.1078957958998</v>
      </c>
      <c r="C17" s="5">
        <v>2723.4859610407998</v>
      </c>
      <c r="D17" s="1" t="s">
        <v>8</v>
      </c>
      <c r="E17" s="5">
        <f t="shared" si="0"/>
        <v>408.62193475510003</v>
      </c>
      <c r="F17" s="9">
        <f t="shared" si="1"/>
        <v>0.13046227919018261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Verifying Evaluation1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A. Pitts</dc:creator>
  <cp:lastModifiedBy>Stephanie A. Pitts</cp:lastModifiedBy>
  <dcterms:created xsi:type="dcterms:W3CDTF">2023-05-23T15:47:05Z</dcterms:created>
  <dcterms:modified xsi:type="dcterms:W3CDTF">2023-05-23T21:03:29Z</dcterms:modified>
</cp:coreProperties>
</file>